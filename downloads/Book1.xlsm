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EN'S\Desktop\Excel Training\"/>
    </mc:Choice>
  </mc:AlternateContent>
  <bookViews>
    <workbookView xWindow="480" yWindow="135" windowWidth="18195" windowHeight="11760" activeTab="1"/>
  </bookViews>
  <sheets>
    <sheet name="Sheet1" sheetId="1" r:id="rId1"/>
    <sheet name="Sheet2" sheetId="2" r:id="rId2"/>
    <sheet name="Sheet3" sheetId="3" r:id="rId3"/>
  </sheets>
  <definedNames>
    <definedName name="solver_adj" localSheetId="1" hidden="1">Sheet2!$K$38:$K$40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Sheet2!$K$38</definedName>
    <definedName name="solver_lhs2" localSheetId="1" hidden="1">Sheet2!$K$38:$K$40</definedName>
    <definedName name="solver_lhs3" localSheetId="1" hidden="1">Sheet2!$K$38:$K$40</definedName>
    <definedName name="solver_lhs4" localSheetId="1" hidden="1">Sheet2!$K$39</definedName>
    <definedName name="solver_lhs5" localSheetId="1" hidden="1">Sheet2!$K$40</definedName>
    <definedName name="solver_lhs6" localSheetId="1" hidden="1">Sheet2!$K$33</definedName>
    <definedName name="solver_lhs7" localSheetId="1" hidden="1">Sheet2!$K$33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Sheet2!$K$41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4</definedName>
    <definedName name="solver_rel3" localSheetId="1" hidden="1">3</definedName>
    <definedName name="solver_rel4" localSheetId="1" hidden="1">2</definedName>
    <definedName name="solver_rel5" localSheetId="1" hidden="1">2</definedName>
    <definedName name="solver_rel6" localSheetId="1" hidden="1">2</definedName>
    <definedName name="solver_rel7" localSheetId="1" hidden="1">2</definedName>
    <definedName name="solver_rhs1" localSheetId="1" hidden="1">(Sheet2!$J$2-Sheet2!$E$7*Sheet2!$K$39-Sheet2!$E$12*Sheet2!$K$40)/Sheet2!$E$5</definedName>
    <definedName name="solver_rhs2" localSheetId="1" hidden="1">integer</definedName>
    <definedName name="solver_rhs3" localSheetId="1" hidden="1">0</definedName>
    <definedName name="solver_rhs4" localSheetId="1" hidden="1">(Sheet2!$J$2-Sheet2!$E$5*Sheet2!$K$38-Sheet2!$E$12*Sheet2!$K$40)/Sheet2!$E$7</definedName>
    <definedName name="solver_rhs5" localSheetId="1" hidden="1">(Sheet2!$J$2-Sheet2!$E$5*Sheet2!$K$38-Sheet2!$E$7*Sheet2!$K$39)/Sheet2!$E$12</definedName>
    <definedName name="solver_rhs6" localSheetId="1" hidden="1">(Sheet2!$J$2-Sheet2!$K$29*Sheet2!$E$3-Sheet2!$K$30*Sheet2!$E$9-Sheet2!$K$31*Sheet2!$E$10-Sheet2!$K$32*Sheet2!$E$11)/Sheet2!$E$15</definedName>
    <definedName name="solver_rhs7" localSheetId="1" hidden="1">(Sheet2!$J$2-Sheet2!$K$29*Sheet2!$E$3-Sheet2!$K$30*Sheet2!$E$9-Sheet2!$K$31*Sheet2!$E$10-Sheet2!$K$32*Sheet2!$E$11)/Sheet2!$E$15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2" i="1" l="1"/>
  <c r="C3" i="2"/>
  <c r="J29" i="2" s="1"/>
  <c r="C4" i="2"/>
  <c r="J23" i="2" s="1"/>
  <c r="C5" i="2"/>
  <c r="J38" i="2" s="1"/>
  <c r="C6" i="2"/>
  <c r="C7" i="2"/>
  <c r="J39" i="2" s="1"/>
  <c r="C8" i="2"/>
  <c r="J24" i="2" s="1"/>
  <c r="C9" i="2"/>
  <c r="J30" i="2" s="1"/>
  <c r="C10" i="2"/>
  <c r="J31" i="2" s="1"/>
  <c r="C11" i="2"/>
  <c r="J32" i="2" s="1"/>
  <c r="C12" i="2"/>
  <c r="J40" i="2" s="1"/>
  <c r="C13" i="2"/>
  <c r="C14" i="2"/>
  <c r="C15" i="2"/>
  <c r="J33" i="2" s="1"/>
  <c r="C16" i="2"/>
  <c r="C17" i="2"/>
  <c r="C2" i="2"/>
  <c r="J22" i="2" s="1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22" i="2"/>
  <c r="C23" i="2" l="1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22" i="2"/>
  <c r="K2" i="2" l="1"/>
  <c r="K41" i="2" s="1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22" i="2"/>
  <c r="F24" i="2" l="1"/>
  <c r="F26" i="2"/>
  <c r="G26" i="2" s="1"/>
  <c r="B26" i="2" s="1"/>
  <c r="F28" i="2"/>
  <c r="F30" i="2"/>
  <c r="G30" i="2" s="1"/>
  <c r="B30" i="2" s="1"/>
  <c r="F32" i="2"/>
  <c r="F34" i="2"/>
  <c r="F36" i="2"/>
  <c r="F22" i="2"/>
  <c r="G22" i="2" s="1"/>
  <c r="B22" i="2" s="1"/>
  <c r="K25" i="2"/>
  <c r="F23" i="2"/>
  <c r="G23" i="2" s="1"/>
  <c r="B23" i="2" s="1"/>
  <c r="F25" i="2"/>
  <c r="F27" i="2"/>
  <c r="F29" i="2"/>
  <c r="F31" i="2"/>
  <c r="G31" i="2" s="1"/>
  <c r="F33" i="2"/>
  <c r="F35" i="2"/>
  <c r="G35" i="2" s="1"/>
  <c r="F37" i="2"/>
  <c r="K34" i="2"/>
  <c r="G36" i="2"/>
  <c r="G28" i="2"/>
  <c r="G27" i="2"/>
  <c r="G24" i="2" l="1"/>
  <c r="B24" i="2" s="1"/>
  <c r="G32" i="2"/>
  <c r="B32" i="2" s="1"/>
  <c r="B27" i="2"/>
  <c r="B31" i="2"/>
  <c r="B35" i="2"/>
  <c r="B28" i="2"/>
  <c r="B36" i="2"/>
  <c r="G34" i="2"/>
  <c r="B34" i="2" s="1"/>
  <c r="G25" i="2"/>
  <c r="B25" i="2" s="1"/>
  <c r="G29" i="2"/>
  <c r="B29" i="2" s="1"/>
  <c r="G33" i="2"/>
  <c r="B33" i="2" s="1"/>
  <c r="G37" i="2"/>
  <c r="B37" i="2" s="1"/>
  <c r="F40" i="2" l="1"/>
  <c r="F39" i="2"/>
  <c r="E40" i="2"/>
  <c r="E39" i="2"/>
</calcChain>
</file>

<file path=xl/sharedStrings.xml><?xml version="1.0" encoding="utf-8"?>
<sst xmlns="http://schemas.openxmlformats.org/spreadsheetml/2006/main" count="88" uniqueCount="60">
  <si>
    <t>Heights</t>
  </si>
  <si>
    <t>Weights</t>
  </si>
  <si>
    <t>Weights of those whose heights are above 170</t>
  </si>
  <si>
    <t>价格</t>
  </si>
  <si>
    <t>有效面积</t>
  </si>
  <si>
    <t>品牌</t>
  </si>
  <si>
    <t>西门子</t>
  </si>
  <si>
    <t>海尔</t>
  </si>
  <si>
    <t>西门子A</t>
  </si>
  <si>
    <t>海尔A</t>
  </si>
  <si>
    <t>西门子B</t>
  </si>
  <si>
    <t>大金A</t>
  </si>
  <si>
    <t>松下A</t>
  </si>
  <si>
    <t>大金B</t>
  </si>
  <si>
    <t>西门子C</t>
  </si>
  <si>
    <t>海尔B</t>
  </si>
  <si>
    <t>海尔C</t>
  </si>
  <si>
    <t>海尔D</t>
  </si>
  <si>
    <t>大金C</t>
  </si>
  <si>
    <t>夏普A</t>
  </si>
  <si>
    <t>日立A</t>
  </si>
  <si>
    <t>海尔E</t>
  </si>
  <si>
    <t>日立B</t>
  </si>
  <si>
    <t>夏普B</t>
  </si>
  <si>
    <t>使用面积</t>
  </si>
  <si>
    <t>购买成本</t>
  </si>
  <si>
    <t>使用成本（5年）</t>
  </si>
  <si>
    <t>购买同一供应商，同一型号</t>
  </si>
  <si>
    <t>功率（瓦）</t>
  </si>
  <si>
    <t>电费（元/小时千瓦）</t>
  </si>
  <si>
    <t>年均使用时间（小时）</t>
  </si>
  <si>
    <t>总成本</t>
  </si>
  <si>
    <t>最低成本</t>
  </si>
  <si>
    <t>大金</t>
  </si>
  <si>
    <t>松下</t>
  </si>
  <si>
    <t>夏普</t>
  </si>
  <si>
    <t>日立</t>
  </si>
  <si>
    <t>维修费用（每年）</t>
  </si>
  <si>
    <t>最高成本</t>
  </si>
  <si>
    <t>采购数量</t>
  </si>
  <si>
    <t>购买同一供应商，不同型号</t>
  </si>
  <si>
    <t>型号</t>
  </si>
  <si>
    <t>最优购买台数</t>
  </si>
  <si>
    <t>总价</t>
  </si>
  <si>
    <t>Constraint</t>
  </si>
  <si>
    <t>($J$2-$E$4*$K$22-$E$8*$K$23)/$E$2</t>
  </si>
  <si>
    <t>($J$2-$E$2*$K$21-$E$8*$K$23)/$E$4</t>
  </si>
  <si>
    <t>($J$2-$K$21*$E$2-$K$22*$E$4)/$E$8</t>
  </si>
  <si>
    <t>$k$21:$k$23=integer;$k$21:$k$23&gt;=0</t>
  </si>
  <si>
    <t>$k$24_min</t>
  </si>
  <si>
    <t>($J$2-$K$29*$E$9-$K$30*$E$10-$K$31*$E$11-$K$32*$E$15)/$E$3</t>
  </si>
  <si>
    <t>($J$2-$K$28*$E$3-$K$30*$E$10-$K$31*$E$11-$K$32*$E$15)/$E$9</t>
  </si>
  <si>
    <t>($J$2-$K$28*$E$3-$K$29*$E$9-$K$31*$E$11-$K$32*$E$15)/$E$10</t>
  </si>
  <si>
    <t>($J$2-$K$28*$E$3-$K$29*$E$9-$K$30*$E$10-$K$32*$E$15)/$E$11</t>
  </si>
  <si>
    <t>($J$2-$K$28*$E$3-$K$29*$E$9-$K$30*$E$10-$K$31*$E$11)/$E$15</t>
  </si>
  <si>
    <t>$k$33_min</t>
  </si>
  <si>
    <t>($J$2-$E$7*$K$39-$E$12*$K$40)/$E$5</t>
  </si>
  <si>
    <t>($J$2-$E$5*$K$38-$E$12*$K$40)/$E$7</t>
  </si>
  <si>
    <t>($J$2-$E$5*$K$38-$E$7*$K$39)/$E$12</t>
  </si>
  <si>
    <t>$k$40_min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</si>
</sst>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¥-804]#,##0.00"/>
    <numFmt numFmtId="177" formatCode="_ [$¥-804]* #,##0.00_ ;_ [$¥-804]* \-#,##0.00_ ;_ [$¥-804]* &quot;-&quot;??_ ;_ @_ "/>
    <numFmt numFmtId="178" formatCode="_ [$¥-804]* #,##0_ ;_ [$¥-804]* \-#,##0_ ;_ [$¥-804]* &quot;-&quot;??_ ;_ @_ "/>
  </numFmts>
  <fonts count="5" x14ac:knownFonts="1">
    <font>
      <sz val="11"/>
      <color theme="1"/>
      <name val="宋体"/>
      <family val="2"/>
      <scheme val="minor"/>
    </font>
    <font>
      <b/>
      <sz val="11"/>
      <color rgb="FF000000"/>
      <name val="Calibri"/>
      <family val="2"/>
    </font>
    <font>
      <sz val="10"/>
      <color theme="1"/>
      <name val="Arial Unicode MS"/>
      <family val="2"/>
      <charset val="134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/>
    <xf numFmtId="177" fontId="0" fillId="5" borderId="0" xfId="0" applyNumberFormat="1" applyFill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5" borderId="0" xfId="0" applyFill="1" applyBorder="1"/>
    <xf numFmtId="178" fontId="0" fillId="5" borderId="0" xfId="0" applyNumberFormat="1" applyFill="1" applyBorder="1"/>
    <xf numFmtId="0" fontId="0" fillId="6" borderId="1" xfId="0" applyFill="1" applyBorder="1" applyAlignment="1">
      <alignment horizontal="center" vertical="center"/>
    </xf>
    <xf numFmtId="0" fontId="0" fillId="6" borderId="0" xfId="0" applyFill="1" applyBorder="1"/>
    <xf numFmtId="0" fontId="0" fillId="6" borderId="1" xfId="0" applyFill="1" applyBorder="1"/>
    <xf numFmtId="0" fontId="0" fillId="0" borderId="0" xfId="0" applyBorder="1"/>
    <xf numFmtId="0" fontId="0" fillId="5" borderId="0" xfId="0" applyFill="1" applyBorder="1" applyAlignment="1">
      <alignment horizontal="center"/>
    </xf>
    <xf numFmtId="0" fontId="0" fillId="0" borderId="1" xfId="0" applyBorder="1"/>
    <xf numFmtId="0" fontId="0" fillId="5" borderId="1" xfId="0" applyFill="1" applyBorder="1" applyAlignment="1">
      <alignment horizontal="center"/>
    </xf>
    <xf numFmtId="178" fontId="0" fillId="5" borderId="1" xfId="0" applyNumberFormat="1" applyFill="1" applyBorder="1"/>
    <xf numFmtId="0" fontId="0" fillId="5" borderId="1" xfId="0" applyFill="1" applyBorder="1"/>
    <xf numFmtId="177" fontId="0" fillId="5" borderId="0" xfId="0" applyNumberFormat="1" applyFill="1" applyBorder="1"/>
    <xf numFmtId="177" fontId="0" fillId="5" borderId="1" xfId="0" applyNumberFormat="1" applyFill="1" applyBorder="1"/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9" borderId="0" xfId="0" applyFill="1"/>
    <xf numFmtId="0" fontId="0" fillId="9" borderId="0" xfId="0" applyFill="1" applyBorder="1"/>
    <xf numFmtId="176" fontId="0" fillId="9" borderId="0" xfId="0" applyNumberFormat="1" applyFill="1"/>
    <xf numFmtId="0" fontId="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 shrinkToFit="1"/>
    </xf>
    <xf numFmtId="0" fontId="0" fillId="7" borderId="0" xfId="0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DeBlanks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(Containing Formulas)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628650</xdr:colOff>
      <xdr:row>8</xdr:row>
      <xdr:rowOff>0</xdr:rowOff>
    </xdr:from>
    <xdr:to>
      <xdr:col>13</xdr:col>
      <xdr:colOff>9525</xdr:colOff>
      <xdr:row>17</xdr:row>
      <xdr:rowOff>0</xdr:rowOff>
    </xdr:to>
    <xdr:sp macro="" textlink="">
      <xdr:nvSpPr>
        <xdr:cNvPr id="2" name="TextBox 1"/>
        <xdr:cNvSpPr txBox="1"/>
      </xdr:nvSpPr>
      <xdr:spPr>
        <a:xfrm>
          <a:off x="4514850" y="1543050"/>
          <a:ext cx="7010400" cy="1724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Instructions of</a:t>
          </a:r>
          <a:r>
            <a:rPr lang="en-US" sz="1100" baseline="0"/>
            <a:t>  price comparison model.</a:t>
          </a:r>
        </a:p>
        <a:p>
          <a:r>
            <a:rPr lang="en-US" sz="1100" baseline="0"/>
            <a:t>Equipements</a:t>
          </a: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4"/>
  <sheetViews>
    <sheetView workbookViewId="0">
      <selection activeCell="D26" sqref="D26"/>
    </sheetView>
  </sheetViews>
  <sheetFormatPr defaultRowHeight="13.5" x14ac:dyDescent="0.15"/>
  <cols>
    <col min="1" max="1" width="13.75" customWidth="1"/>
    <col min="2" max="2" width="13.25" customWidth="1"/>
    <col min="3" max="3" width="17.75" customWidth="1"/>
  </cols>
  <sheetData>
    <row r="1" spans="1:3" ht="40.5" x14ac:dyDescent="0.15">
      <c r="A1" s="1" t="s">
        <v>0</v>
      </c>
      <c r="B1" s="2" t="s">
        <v>1</v>
      </c>
      <c r="C1" s="3" t="s">
        <v>2</v>
      </c>
    </row>
    <row r="2" spans="1:3" x14ac:dyDescent="0.15">
      <c r="A2">
        <v>189</v>
      </c>
      <c r="B2">
        <v>90</v>
      </c>
      <c r="C2">
        <f>IF(A2&gt;=170,VLOOKUP(A2,A2:B2,2,FALSE),"")</f>
        <v>90</v>
      </c>
    </row>
    <row r="3" spans="1:3" x14ac:dyDescent="0.15">
      <c r="A3">
        <v>166</v>
      </c>
      <c r="B3">
        <v>62</v>
      </c>
      <c r="C3" t="str">
        <f t="shared" ref="C3:C14" si="0">IF(A3&gt;=170,VLOOKUP(A3,A3:B3,2,FALSE),"")</f>
        <v/>
      </c>
    </row>
    <row r="4" spans="1:3" x14ac:dyDescent="0.15">
      <c r="A4">
        <v>168</v>
      </c>
      <c r="B4">
        <v>55</v>
      </c>
      <c r="C4" t="str">
        <f t="shared" si="0"/>
        <v/>
      </c>
    </row>
    <row r="5" spans="1:3" x14ac:dyDescent="0.15">
      <c r="A5">
        <v>187</v>
      </c>
      <c r="B5">
        <v>71</v>
      </c>
      <c r="C5">
        <f t="shared" si="0"/>
        <v>71</v>
      </c>
    </row>
    <row r="6" spans="1:3" x14ac:dyDescent="0.15">
      <c r="A6">
        <v>167</v>
      </c>
      <c r="B6">
        <v>44</v>
      </c>
      <c r="C6" t="str">
        <f t="shared" si="0"/>
        <v/>
      </c>
    </row>
    <row r="7" spans="1:3" x14ac:dyDescent="0.15">
      <c r="A7">
        <v>193</v>
      </c>
      <c r="B7">
        <v>73</v>
      </c>
      <c r="C7">
        <f t="shared" si="0"/>
        <v>73</v>
      </c>
    </row>
    <row r="8" spans="1:3" x14ac:dyDescent="0.15">
      <c r="A8">
        <v>175</v>
      </c>
      <c r="B8">
        <v>65</v>
      </c>
      <c r="C8">
        <f t="shared" si="0"/>
        <v>65</v>
      </c>
    </row>
    <row r="9" spans="1:3" x14ac:dyDescent="0.15">
      <c r="A9">
        <v>174</v>
      </c>
      <c r="B9">
        <v>88</v>
      </c>
      <c r="C9">
        <f t="shared" si="0"/>
        <v>88</v>
      </c>
    </row>
    <row r="10" spans="1:3" x14ac:dyDescent="0.15">
      <c r="A10">
        <v>165</v>
      </c>
      <c r="B10">
        <v>52</v>
      </c>
      <c r="C10" t="str">
        <f t="shared" si="0"/>
        <v/>
      </c>
    </row>
    <row r="11" spans="1:3" x14ac:dyDescent="0.15">
      <c r="A11">
        <v>198</v>
      </c>
      <c r="B11">
        <v>101</v>
      </c>
      <c r="C11">
        <f t="shared" si="0"/>
        <v>101</v>
      </c>
    </row>
    <row r="12" spans="1:3" x14ac:dyDescent="0.15">
      <c r="A12">
        <v>177</v>
      </c>
      <c r="B12">
        <v>78</v>
      </c>
      <c r="C12">
        <f t="shared" si="0"/>
        <v>78</v>
      </c>
    </row>
    <row r="13" spans="1:3" x14ac:dyDescent="0.15">
      <c r="A13">
        <v>165</v>
      </c>
      <c r="B13">
        <v>62</v>
      </c>
      <c r="C13" t="str">
        <f t="shared" si="0"/>
        <v/>
      </c>
    </row>
    <row r="14" spans="1:3" x14ac:dyDescent="0.15">
      <c r="A14">
        <v>175</v>
      </c>
      <c r="B14">
        <v>49</v>
      </c>
      <c r="C14">
        <f t="shared" si="0"/>
        <v>49</v>
      </c>
    </row>
  </sheetData>
  <phoneticPr fontId="4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WithF_Dtext">
                <anchor moveWithCells="1" siz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2"/>
  <sheetViews>
    <sheetView tabSelected="1" topLeftCell="D1" workbookViewId="0">
      <selection activeCell="I21" sqref="I21"/>
    </sheetView>
  </sheetViews>
  <sheetFormatPr defaultRowHeight="13.5" x14ac:dyDescent="0.15"/>
  <cols>
    <col min="1" max="3" width="9.125" hidden="1" customWidth="1"/>
    <col min="4" max="4" width="11.125" bestFit="1" customWidth="1"/>
    <col min="5" max="5" width="13.75" bestFit="1" customWidth="1"/>
    <col min="6" max="6" width="17.375" customWidth="1"/>
    <col min="7" max="7" width="16" bestFit="1" customWidth="1"/>
    <col min="8" max="8" width="9.625" bestFit="1" customWidth="1"/>
    <col min="9" max="9" width="21.625" bestFit="1" customWidth="1"/>
    <col min="11" max="11" width="32.875" bestFit="1" customWidth="1"/>
    <col min="12" max="12" width="18.375" bestFit="1" customWidth="1"/>
    <col min="13" max="13" width="22.875" bestFit="1" customWidth="1"/>
    <col min="14" max="14" width="18.375" bestFit="1" customWidth="1"/>
  </cols>
  <sheetData>
    <row r="1" spans="3:13" x14ac:dyDescent="0.15">
      <c r="C1" s="7" t="s">
        <v>5</v>
      </c>
      <c r="D1" s="22" t="s">
        <v>41</v>
      </c>
      <c r="E1" s="22" t="s">
        <v>4</v>
      </c>
      <c r="F1" s="22" t="s">
        <v>3</v>
      </c>
      <c r="G1" s="22" t="s">
        <v>28</v>
      </c>
      <c r="H1" s="22"/>
      <c r="I1" s="23" t="s">
        <v>29</v>
      </c>
      <c r="J1" s="23" t="s">
        <v>24</v>
      </c>
      <c r="K1" s="23" t="s">
        <v>30</v>
      </c>
      <c r="L1" s="23"/>
      <c r="M1" s="23" t="s">
        <v>37</v>
      </c>
    </row>
    <row r="2" spans="3:13" ht="14.25" thickBot="1" x14ac:dyDescent="0.2">
      <c r="C2" s="12" t="str">
        <f>MID(D2,1,LEN(D2)-1)</f>
        <v>西门子</v>
      </c>
      <c r="D2" s="22" t="s">
        <v>8</v>
      </c>
      <c r="E2" s="7">
        <v>36</v>
      </c>
      <c r="F2" s="7">
        <v>6000</v>
      </c>
      <c r="G2" s="7">
        <v>995</v>
      </c>
      <c r="H2" s="7"/>
      <c r="I2" s="8">
        <v>1.2</v>
      </c>
      <c r="J2" s="8">
        <v>6000</v>
      </c>
      <c r="K2" s="11">
        <f>12*365</f>
        <v>4380</v>
      </c>
      <c r="L2" s="8" t="s">
        <v>6</v>
      </c>
      <c r="M2" s="8">
        <v>25000</v>
      </c>
    </row>
    <row r="3" spans="3:13" ht="14.25" thickTop="1" x14ac:dyDescent="0.15">
      <c r="C3" s="12" t="str">
        <f t="shared" ref="C3:C17" si="0">MID(D3,1,LEN(D3)-1)</f>
        <v>海尔</v>
      </c>
      <c r="D3" s="22" t="s">
        <v>9</v>
      </c>
      <c r="E3" s="7">
        <v>25</v>
      </c>
      <c r="F3" s="7">
        <v>5000</v>
      </c>
      <c r="G3" s="7">
        <v>843</v>
      </c>
      <c r="H3" s="7"/>
      <c r="I3" s="8"/>
      <c r="J3" s="8"/>
      <c r="K3" s="8"/>
      <c r="L3" s="8" t="s">
        <v>7</v>
      </c>
      <c r="M3" s="8">
        <v>16000</v>
      </c>
    </row>
    <row r="4" spans="3:13" x14ac:dyDescent="0.15">
      <c r="C4" s="12" t="str">
        <f t="shared" si="0"/>
        <v>西门子</v>
      </c>
      <c r="D4" s="22" t="s">
        <v>10</v>
      </c>
      <c r="E4" s="7">
        <v>21</v>
      </c>
      <c r="F4" s="7">
        <v>3500</v>
      </c>
      <c r="G4" s="7">
        <v>654</v>
      </c>
      <c r="H4" s="7"/>
      <c r="I4" s="8"/>
      <c r="J4" s="8"/>
      <c r="K4" s="8"/>
      <c r="L4" s="8" t="s">
        <v>33</v>
      </c>
      <c r="M4" s="8">
        <v>27000</v>
      </c>
    </row>
    <row r="5" spans="3:13" x14ac:dyDescent="0.15">
      <c r="C5" s="12" t="str">
        <f t="shared" si="0"/>
        <v>大金</v>
      </c>
      <c r="D5" s="22" t="s">
        <v>11</v>
      </c>
      <c r="E5" s="7">
        <v>66</v>
      </c>
      <c r="F5" s="7">
        <v>9000</v>
      </c>
      <c r="G5" s="7">
        <v>1565</v>
      </c>
      <c r="H5" s="7"/>
      <c r="I5" s="8"/>
      <c r="J5" s="8"/>
      <c r="K5" s="8"/>
      <c r="L5" s="8" t="s">
        <v>34</v>
      </c>
      <c r="M5" s="8">
        <v>24550</v>
      </c>
    </row>
    <row r="6" spans="3:13" x14ac:dyDescent="0.15">
      <c r="C6" s="12" t="str">
        <f t="shared" si="0"/>
        <v>松下</v>
      </c>
      <c r="D6" s="22" t="s">
        <v>12</v>
      </c>
      <c r="E6" s="7">
        <v>45</v>
      </c>
      <c r="F6" s="7">
        <v>6500</v>
      </c>
      <c r="G6" s="7">
        <v>1003</v>
      </c>
      <c r="H6" s="7"/>
      <c r="I6" s="8"/>
      <c r="J6" s="8"/>
      <c r="K6" s="8"/>
      <c r="L6" s="8" t="s">
        <v>35</v>
      </c>
      <c r="M6" s="8">
        <v>39000</v>
      </c>
    </row>
    <row r="7" spans="3:13" x14ac:dyDescent="0.15">
      <c r="C7" s="12" t="str">
        <f t="shared" si="0"/>
        <v>大金</v>
      </c>
      <c r="D7" s="22" t="s">
        <v>13</v>
      </c>
      <c r="E7" s="7">
        <v>23</v>
      </c>
      <c r="F7" s="7">
        <v>3000</v>
      </c>
      <c r="G7" s="7">
        <v>907</v>
      </c>
      <c r="H7" s="7"/>
      <c r="I7" s="8"/>
      <c r="J7" s="8"/>
      <c r="K7" s="8"/>
      <c r="L7" s="8" t="s">
        <v>36</v>
      </c>
      <c r="M7" s="8">
        <v>34000</v>
      </c>
    </row>
    <row r="8" spans="3:13" x14ac:dyDescent="0.15">
      <c r="C8" s="12" t="str">
        <f t="shared" si="0"/>
        <v>西门子</v>
      </c>
      <c r="D8" s="22" t="s">
        <v>14</v>
      </c>
      <c r="E8" s="7">
        <v>40</v>
      </c>
      <c r="F8" s="7">
        <v>6700</v>
      </c>
      <c r="G8" s="7">
        <v>998</v>
      </c>
    </row>
    <row r="9" spans="3:13" x14ac:dyDescent="0.15">
      <c r="C9" s="12" t="str">
        <f t="shared" si="0"/>
        <v>海尔</v>
      </c>
      <c r="D9" s="22" t="s">
        <v>15</v>
      </c>
      <c r="E9" s="7">
        <v>133</v>
      </c>
      <c r="F9" s="7">
        <v>22850</v>
      </c>
      <c r="G9" s="7">
        <v>2972</v>
      </c>
    </row>
    <row r="10" spans="3:13" x14ac:dyDescent="0.15">
      <c r="C10" s="12" t="str">
        <f t="shared" si="0"/>
        <v>海尔</v>
      </c>
      <c r="D10" s="22" t="s">
        <v>16</v>
      </c>
      <c r="E10" s="7">
        <v>30</v>
      </c>
      <c r="F10" s="7">
        <v>5500</v>
      </c>
      <c r="G10" s="7">
        <v>810</v>
      </c>
    </row>
    <row r="11" spans="3:13" x14ac:dyDescent="0.15">
      <c r="C11" s="12" t="str">
        <f t="shared" si="0"/>
        <v>海尔</v>
      </c>
      <c r="D11" s="22" t="s">
        <v>17</v>
      </c>
      <c r="E11" s="7">
        <v>55</v>
      </c>
      <c r="F11" s="7">
        <v>8000</v>
      </c>
      <c r="G11" s="7">
        <v>1696</v>
      </c>
    </row>
    <row r="12" spans="3:13" x14ac:dyDescent="0.15">
      <c r="C12" s="12" t="str">
        <f t="shared" si="0"/>
        <v>大金</v>
      </c>
      <c r="D12" s="22" t="s">
        <v>18</v>
      </c>
      <c r="E12" s="7">
        <v>28</v>
      </c>
      <c r="F12" s="7">
        <v>3600</v>
      </c>
      <c r="G12" s="7">
        <v>622</v>
      </c>
    </row>
    <row r="13" spans="3:13" x14ac:dyDescent="0.15">
      <c r="C13" s="12" t="str">
        <f t="shared" si="0"/>
        <v>夏普</v>
      </c>
      <c r="D13" s="22" t="s">
        <v>19</v>
      </c>
      <c r="E13" s="7">
        <v>27</v>
      </c>
      <c r="F13" s="7">
        <v>4500</v>
      </c>
      <c r="G13" s="7">
        <v>599</v>
      </c>
    </row>
    <row r="14" spans="3:13" x14ac:dyDescent="0.15">
      <c r="C14" s="12" t="str">
        <f t="shared" si="0"/>
        <v>日立</v>
      </c>
      <c r="D14" s="22" t="s">
        <v>20</v>
      </c>
      <c r="E14" s="7">
        <v>33</v>
      </c>
      <c r="F14" s="7">
        <v>6000</v>
      </c>
      <c r="G14" s="7">
        <v>936</v>
      </c>
    </row>
    <row r="15" spans="3:13" x14ac:dyDescent="0.15">
      <c r="C15" s="12" t="str">
        <f t="shared" si="0"/>
        <v>海尔</v>
      </c>
      <c r="D15" s="22" t="s">
        <v>21</v>
      </c>
      <c r="E15" s="7">
        <v>46.5</v>
      </c>
      <c r="F15" s="7">
        <v>7095</v>
      </c>
      <c r="G15" s="7">
        <v>998</v>
      </c>
    </row>
    <row r="16" spans="3:13" x14ac:dyDescent="0.15">
      <c r="C16" s="12" t="str">
        <f t="shared" si="0"/>
        <v>日立</v>
      </c>
      <c r="D16" s="22" t="s">
        <v>22</v>
      </c>
      <c r="E16" s="7">
        <v>29</v>
      </c>
      <c r="F16" s="7">
        <v>1800</v>
      </c>
      <c r="G16" s="7">
        <v>733</v>
      </c>
    </row>
    <row r="17" spans="2:13" ht="14.25" thickBot="1" x14ac:dyDescent="0.2">
      <c r="C17" s="13" t="str">
        <f t="shared" si="0"/>
        <v>夏普</v>
      </c>
      <c r="D17" s="22" t="s">
        <v>23</v>
      </c>
      <c r="E17" s="7">
        <v>22</v>
      </c>
      <c r="F17" s="7">
        <v>2950</v>
      </c>
      <c r="G17" s="7">
        <v>890</v>
      </c>
    </row>
    <row r="18" spans="2:13" ht="14.25" thickTop="1" x14ac:dyDescent="0.15"/>
    <row r="19" spans="2:13" x14ac:dyDescent="0.15">
      <c r="C19" s="4"/>
      <c r="D19" s="37" t="s">
        <v>27</v>
      </c>
      <c r="E19" s="37"/>
      <c r="F19" s="37"/>
      <c r="G19" s="37"/>
      <c r="H19" s="37"/>
      <c r="J19" s="38" t="s">
        <v>40</v>
      </c>
      <c r="K19" s="38"/>
      <c r="L19" s="38"/>
      <c r="M19" s="38"/>
    </row>
    <row r="20" spans="2:13" x14ac:dyDescent="0.15">
      <c r="C20" s="4"/>
      <c r="D20" s="37"/>
      <c r="E20" s="37"/>
      <c r="F20" s="37"/>
      <c r="G20" s="37"/>
      <c r="H20" s="37"/>
      <c r="J20" s="38"/>
      <c r="K20" s="38"/>
      <c r="L20" s="38"/>
      <c r="M20" s="38"/>
    </row>
    <row r="21" spans="2:13" x14ac:dyDescent="0.15">
      <c r="C21" s="4" t="s">
        <v>5</v>
      </c>
      <c r="D21" s="24"/>
      <c r="E21" s="5" t="s">
        <v>25</v>
      </c>
      <c r="F21" s="5" t="s">
        <v>26</v>
      </c>
      <c r="G21" s="5" t="s">
        <v>31</v>
      </c>
      <c r="H21" s="5" t="s">
        <v>39</v>
      </c>
      <c r="J21" s="27" t="s">
        <v>6</v>
      </c>
      <c r="K21" s="28" t="s">
        <v>42</v>
      </c>
      <c r="L21" s="36" t="s">
        <v>44</v>
      </c>
      <c r="M21" s="36"/>
    </row>
    <row r="22" spans="2:13" x14ac:dyDescent="0.15">
      <c r="B22" s="14">
        <f t="shared" ref="B22:B37" si="1">G22</f>
        <v>5493816.2000000002</v>
      </c>
      <c r="C22" s="15" t="str">
        <f t="shared" ref="C22:C37" si="2">MID(D22,1,LEN(D22)-1)</f>
        <v>西门子</v>
      </c>
      <c r="D22" s="24" t="s">
        <v>8</v>
      </c>
      <c r="E22" s="10">
        <f>ROUND($J$2/E2,0)*F2</f>
        <v>1002000</v>
      </c>
      <c r="F22" s="10">
        <f>$K$2*(G2/1000)*$I$2*H22*5</f>
        <v>4366816.2</v>
      </c>
      <c r="G22" s="10">
        <f t="shared" ref="G22:G37" si="3">E22+F22+VLOOKUP(C22,$L$2:$M$7,2,FALSE)*5</f>
        <v>5493816.2000000002</v>
      </c>
      <c r="H22" s="9">
        <f>ROUND($J$2/E2,0)</f>
        <v>167</v>
      </c>
      <c r="J22" s="29" t="str">
        <f>IF(C2=$J$21,VLOOKUP($J$21,C2:G2,2,FALSE))</f>
        <v>西门子A</v>
      </c>
      <c r="K22" s="30">
        <v>0</v>
      </c>
      <c r="L22" s="31" t="s">
        <v>45</v>
      </c>
      <c r="M22" s="32" t="s">
        <v>48</v>
      </c>
    </row>
    <row r="23" spans="2:13" x14ac:dyDescent="0.15">
      <c r="B23" s="14">
        <f t="shared" si="1"/>
        <v>6596969.5999999987</v>
      </c>
      <c r="C23" s="15" t="str">
        <f t="shared" si="2"/>
        <v>海尔</v>
      </c>
      <c r="D23" s="24" t="s">
        <v>9</v>
      </c>
      <c r="E23" s="10">
        <f t="shared" ref="E23:E37" si="4">ROUND($J$2/E3,0)*F3</f>
        <v>1200000</v>
      </c>
      <c r="F23" s="10">
        <f t="shared" ref="F23:F37" si="5">$K$2*(G3/1000)*$I$2*H23*5</f>
        <v>5316969.5999999987</v>
      </c>
      <c r="G23" s="10">
        <f t="shared" si="3"/>
        <v>6596969.5999999987</v>
      </c>
      <c r="H23" s="9">
        <f t="shared" ref="H23:H37" si="6">ROUND($J$2/E3,0)</f>
        <v>240</v>
      </c>
      <c r="J23" s="29" t="str">
        <f t="shared" ref="J23" si="7">IF(C4=$J$21,VLOOKUP($J$21,C4:G4,2,FALSE))</f>
        <v>西门子B</v>
      </c>
      <c r="K23" s="28">
        <v>0</v>
      </c>
      <c r="L23" s="31" t="s">
        <v>46</v>
      </c>
      <c r="M23" s="28" t="s">
        <v>49</v>
      </c>
    </row>
    <row r="24" spans="2:13" ht="15.75" thickBot="1" x14ac:dyDescent="0.2">
      <c r="B24" s="14">
        <f t="shared" si="1"/>
        <v>6041516.3200000003</v>
      </c>
      <c r="C24" s="15" t="str">
        <f t="shared" si="2"/>
        <v>西门子</v>
      </c>
      <c r="D24" s="25" t="s">
        <v>10</v>
      </c>
      <c r="E24" s="10">
        <f t="shared" si="4"/>
        <v>1001000</v>
      </c>
      <c r="F24" s="10">
        <f t="shared" si="5"/>
        <v>4915516.32</v>
      </c>
      <c r="G24" s="10">
        <f t="shared" si="3"/>
        <v>6041516.3200000003</v>
      </c>
      <c r="H24" s="9">
        <f t="shared" si="6"/>
        <v>286</v>
      </c>
      <c r="J24" s="33" t="str">
        <f>IF(C8=$J$21,VLOOKUP($J$21,C8:G8,2,FALSE))</f>
        <v>西门子C</v>
      </c>
      <c r="K24" s="28">
        <v>150</v>
      </c>
      <c r="L24" s="31" t="s">
        <v>47</v>
      </c>
      <c r="M24" s="34"/>
    </row>
    <row r="25" spans="2:13" ht="15" thickTop="1" thickBot="1" x14ac:dyDescent="0.2">
      <c r="B25" s="14">
        <f t="shared" si="1"/>
        <v>4696666.2</v>
      </c>
      <c r="C25" s="15" t="str">
        <f t="shared" si="2"/>
        <v>大金</v>
      </c>
      <c r="D25" s="24" t="s">
        <v>11</v>
      </c>
      <c r="E25" s="10">
        <f t="shared" si="4"/>
        <v>819000</v>
      </c>
      <c r="F25" s="10">
        <f t="shared" si="5"/>
        <v>3742666.2</v>
      </c>
      <c r="G25" s="10">
        <f t="shared" si="3"/>
        <v>4696666.2</v>
      </c>
      <c r="H25" s="9">
        <f t="shared" si="6"/>
        <v>91</v>
      </c>
      <c r="J25" s="28" t="s">
        <v>43</v>
      </c>
      <c r="K25" s="35">
        <f>(K22*F2+K22*G2/1000*I2*K2*5)+(F4*K23+K23*G4/1000*I2*K2*5)+(K24*F8+K24*G8/1000*I2*K2*5)+M2*5</f>
        <v>5064116</v>
      </c>
      <c r="L25" s="28"/>
      <c r="M25" s="28"/>
    </row>
    <row r="26" spans="2:13" ht="14.25" thickTop="1" x14ac:dyDescent="0.15">
      <c r="B26" s="14">
        <f t="shared" si="1"/>
        <v>4492975.7199999988</v>
      </c>
      <c r="C26" s="15" t="str">
        <f t="shared" si="2"/>
        <v>松下</v>
      </c>
      <c r="D26" s="24" t="s">
        <v>12</v>
      </c>
      <c r="E26" s="10">
        <f t="shared" si="4"/>
        <v>864500</v>
      </c>
      <c r="F26" s="10">
        <f t="shared" si="5"/>
        <v>3505725.7199999993</v>
      </c>
      <c r="G26" s="10">
        <f t="shared" si="3"/>
        <v>4492975.7199999988</v>
      </c>
      <c r="H26" s="9">
        <f t="shared" si="6"/>
        <v>133</v>
      </c>
    </row>
    <row r="27" spans="2:13" x14ac:dyDescent="0.15">
      <c r="B27" s="14">
        <f t="shared" si="1"/>
        <v>7139185.5599999996</v>
      </c>
      <c r="C27" s="15" t="str">
        <f t="shared" si="2"/>
        <v>大金</v>
      </c>
      <c r="D27" s="24" t="s">
        <v>13</v>
      </c>
      <c r="E27" s="10">
        <f t="shared" si="4"/>
        <v>783000</v>
      </c>
      <c r="F27" s="10">
        <f t="shared" si="5"/>
        <v>6221185.5599999996</v>
      </c>
      <c r="G27" s="10">
        <f t="shared" si="3"/>
        <v>7139185.5599999996</v>
      </c>
      <c r="H27" s="9">
        <f t="shared" si="6"/>
        <v>261</v>
      </c>
    </row>
    <row r="28" spans="2:13" x14ac:dyDescent="0.15">
      <c r="B28" s="14">
        <f t="shared" si="1"/>
        <v>5064116</v>
      </c>
      <c r="C28" s="15" t="str">
        <f t="shared" si="2"/>
        <v>西门子</v>
      </c>
      <c r="D28" s="24" t="s">
        <v>14</v>
      </c>
      <c r="E28" s="10">
        <f t="shared" si="4"/>
        <v>1005000</v>
      </c>
      <c r="F28" s="10">
        <f t="shared" si="5"/>
        <v>3934116</v>
      </c>
      <c r="G28" s="10">
        <f t="shared" si="3"/>
        <v>5064116</v>
      </c>
      <c r="H28" s="9">
        <f t="shared" si="6"/>
        <v>150</v>
      </c>
      <c r="J28" s="27" t="s">
        <v>7</v>
      </c>
      <c r="K28" s="28" t="s">
        <v>42</v>
      </c>
      <c r="L28" s="36" t="s">
        <v>44</v>
      </c>
      <c r="M28" s="36"/>
    </row>
    <row r="29" spans="2:13" x14ac:dyDescent="0.15">
      <c r="B29" s="14">
        <f t="shared" si="1"/>
        <v>4622937.2</v>
      </c>
      <c r="C29" s="15" t="str">
        <f t="shared" si="2"/>
        <v>海尔</v>
      </c>
      <c r="D29" s="25" t="s">
        <v>15</v>
      </c>
      <c r="E29" s="10">
        <f t="shared" si="4"/>
        <v>1028250</v>
      </c>
      <c r="F29" s="10">
        <f t="shared" si="5"/>
        <v>3514687.2</v>
      </c>
      <c r="G29" s="10">
        <f t="shared" si="3"/>
        <v>4622937.2</v>
      </c>
      <c r="H29" s="9">
        <f t="shared" si="6"/>
        <v>45</v>
      </c>
      <c r="J29" s="29" t="str">
        <f t="shared" ref="J29" si="8">IF(C3=$J$28,VLOOKUP($J$28,C3:G3,2,FALSE))</f>
        <v>海尔A</v>
      </c>
      <c r="K29" s="28">
        <v>0</v>
      </c>
      <c r="L29" s="32" t="s">
        <v>50</v>
      </c>
      <c r="M29" s="32" t="s">
        <v>48</v>
      </c>
    </row>
    <row r="30" spans="2:13" x14ac:dyDescent="0.15">
      <c r="B30" s="14">
        <f t="shared" si="1"/>
        <v>5437359.9999999991</v>
      </c>
      <c r="C30" s="15" t="str">
        <f t="shared" si="2"/>
        <v>海尔</v>
      </c>
      <c r="D30" s="24" t="s">
        <v>16</v>
      </c>
      <c r="E30" s="10">
        <f t="shared" si="4"/>
        <v>1100000</v>
      </c>
      <c r="F30" s="10">
        <f t="shared" si="5"/>
        <v>4257359.9999999991</v>
      </c>
      <c r="G30" s="10">
        <f t="shared" si="3"/>
        <v>5437359.9999999991</v>
      </c>
      <c r="H30" s="9">
        <f t="shared" si="6"/>
        <v>200</v>
      </c>
      <c r="J30" s="29" t="str">
        <f>IF(C9=$J$28,VLOOKUP($J$28,C9:G9,2,FALSE))</f>
        <v>海尔B</v>
      </c>
      <c r="K30" s="28">
        <v>5</v>
      </c>
      <c r="L30" s="32" t="s">
        <v>51</v>
      </c>
      <c r="M30" s="28" t="s">
        <v>55</v>
      </c>
    </row>
    <row r="31" spans="2:13" x14ac:dyDescent="0.15">
      <c r="B31" s="14">
        <f t="shared" si="1"/>
        <v>5810225.9199999999</v>
      </c>
      <c r="C31" s="15" t="str">
        <f t="shared" si="2"/>
        <v>海尔</v>
      </c>
      <c r="D31" s="24" t="s">
        <v>17</v>
      </c>
      <c r="E31" s="10">
        <f t="shared" si="4"/>
        <v>872000</v>
      </c>
      <c r="F31" s="10">
        <f t="shared" si="5"/>
        <v>4858225.92</v>
      </c>
      <c r="G31" s="10">
        <f t="shared" si="3"/>
        <v>5810225.9199999999</v>
      </c>
      <c r="H31" s="9">
        <f t="shared" si="6"/>
        <v>109</v>
      </c>
      <c r="J31" s="29" t="str">
        <f>IF(C10=$J$28,VLOOKUP($J$28,C10:G10,2,FALSE))</f>
        <v>海尔C</v>
      </c>
      <c r="K31" s="28">
        <v>0</v>
      </c>
      <c r="L31" s="32" t="s">
        <v>52</v>
      </c>
      <c r="M31" s="28"/>
    </row>
    <row r="32" spans="2:13" x14ac:dyDescent="0.15">
      <c r="B32" s="14">
        <f t="shared" si="1"/>
        <v>4403478.24</v>
      </c>
      <c r="C32" s="15" t="str">
        <f t="shared" si="2"/>
        <v>大金</v>
      </c>
      <c r="D32" s="24" t="s">
        <v>18</v>
      </c>
      <c r="E32" s="10">
        <f t="shared" si="4"/>
        <v>770400</v>
      </c>
      <c r="F32" s="10">
        <f t="shared" si="5"/>
        <v>3498078.24</v>
      </c>
      <c r="G32" s="10">
        <f t="shared" si="3"/>
        <v>4403478.24</v>
      </c>
      <c r="H32" s="9">
        <f t="shared" si="6"/>
        <v>214</v>
      </c>
      <c r="J32" s="29" t="str">
        <f>IF(C11=$J$28,VLOOKUP($J$28,C11:G11,2,FALSE))</f>
        <v>海尔D</v>
      </c>
      <c r="K32" s="28">
        <v>4</v>
      </c>
      <c r="L32" s="32" t="s">
        <v>53</v>
      </c>
      <c r="M32" s="28"/>
    </row>
    <row r="33" spans="2:13" ht="14.25" thickBot="1" x14ac:dyDescent="0.2">
      <c r="B33" s="14">
        <f t="shared" si="1"/>
        <v>4688661.84</v>
      </c>
      <c r="C33" s="15" t="str">
        <f t="shared" si="2"/>
        <v>夏普</v>
      </c>
      <c r="D33" s="24" t="s">
        <v>19</v>
      </c>
      <c r="E33" s="10">
        <f t="shared" si="4"/>
        <v>999000</v>
      </c>
      <c r="F33" s="10">
        <f t="shared" si="5"/>
        <v>3494661.8399999994</v>
      </c>
      <c r="G33" s="10">
        <f t="shared" si="3"/>
        <v>4688661.84</v>
      </c>
      <c r="H33" s="9">
        <f t="shared" si="6"/>
        <v>222</v>
      </c>
      <c r="J33" s="33" t="str">
        <f>IF(C15=$J$28,VLOOKUP($J$28,C15:G15,2,FALSE))</f>
        <v>海尔E</v>
      </c>
      <c r="K33" s="28">
        <v>110</v>
      </c>
      <c r="L33" s="32" t="s">
        <v>54</v>
      </c>
      <c r="M33" s="28"/>
    </row>
    <row r="34" spans="2:13" ht="15" thickTop="1" thickBot="1" x14ac:dyDescent="0.2">
      <c r="B34" s="14">
        <f t="shared" si="1"/>
        <v>5738850.5599999996</v>
      </c>
      <c r="C34" s="15" t="str">
        <f t="shared" si="2"/>
        <v>日立</v>
      </c>
      <c r="D34" s="24" t="s">
        <v>20</v>
      </c>
      <c r="E34" s="10">
        <f t="shared" si="4"/>
        <v>1092000</v>
      </c>
      <c r="F34" s="10">
        <f t="shared" si="5"/>
        <v>4476850.5599999996</v>
      </c>
      <c r="G34" s="10">
        <f t="shared" si="3"/>
        <v>5738850.5599999996</v>
      </c>
      <c r="H34" s="9">
        <f t="shared" si="6"/>
        <v>182</v>
      </c>
      <c r="J34" s="28" t="s">
        <v>43</v>
      </c>
      <c r="K34" s="35">
        <f>K29*F3+(K29*G3/1000*I2*K2*5)+K30*F9+(K30*G9/1000*I2*K2*5)+K31*F10+(K31*G10/1000*I2*K2*5)+K32*F11+(K32*G11/1000*I2*K2*5)+K33*F15+(K33*G15/1000*I2*K2*5)+M3*5</f>
        <v>4460522.7199999988</v>
      </c>
      <c r="L34" s="28"/>
      <c r="M34" s="28"/>
    </row>
    <row r="35" spans="2:13" ht="14.25" thickTop="1" x14ac:dyDescent="0.15">
      <c r="B35" s="14">
        <f t="shared" si="1"/>
        <v>4378594.76</v>
      </c>
      <c r="C35" s="15" t="str">
        <f t="shared" si="2"/>
        <v>海尔</v>
      </c>
      <c r="D35" s="24" t="s">
        <v>21</v>
      </c>
      <c r="E35" s="10">
        <f t="shared" si="4"/>
        <v>915255</v>
      </c>
      <c r="F35" s="10">
        <f t="shared" si="5"/>
        <v>3383339.76</v>
      </c>
      <c r="G35" s="10">
        <f t="shared" si="3"/>
        <v>4378594.76</v>
      </c>
      <c r="H35" s="9">
        <f t="shared" si="6"/>
        <v>129</v>
      </c>
    </row>
    <row r="36" spans="2:13" x14ac:dyDescent="0.15">
      <c r="B36" s="14">
        <f t="shared" si="1"/>
        <v>4530090.68</v>
      </c>
      <c r="C36" s="15" t="str">
        <f t="shared" si="2"/>
        <v>日立</v>
      </c>
      <c r="D36" s="24" t="s">
        <v>22</v>
      </c>
      <c r="E36" s="10">
        <f t="shared" si="4"/>
        <v>372600</v>
      </c>
      <c r="F36" s="10">
        <f t="shared" si="5"/>
        <v>3987490.6799999997</v>
      </c>
      <c r="G36" s="10">
        <f t="shared" si="3"/>
        <v>4530090.68</v>
      </c>
      <c r="H36" s="9">
        <f t="shared" si="6"/>
        <v>207</v>
      </c>
    </row>
    <row r="37" spans="2:13" ht="14.25" thickBot="1" x14ac:dyDescent="0.2">
      <c r="B37" s="16">
        <f t="shared" si="1"/>
        <v>7385601.6000000006</v>
      </c>
      <c r="C37" s="17" t="str">
        <f t="shared" si="2"/>
        <v>夏普</v>
      </c>
      <c r="D37" s="24" t="s">
        <v>23</v>
      </c>
      <c r="E37" s="18">
        <f t="shared" si="4"/>
        <v>805350</v>
      </c>
      <c r="F37" s="18">
        <f t="shared" si="5"/>
        <v>6385251.6000000006</v>
      </c>
      <c r="G37" s="18">
        <f t="shared" si="3"/>
        <v>7385601.6000000006</v>
      </c>
      <c r="H37" s="19">
        <f t="shared" si="6"/>
        <v>273</v>
      </c>
      <c r="J37" s="27" t="s">
        <v>33</v>
      </c>
      <c r="K37" s="28" t="s">
        <v>42</v>
      </c>
      <c r="L37" s="36" t="s">
        <v>44</v>
      </c>
      <c r="M37" s="36"/>
    </row>
    <row r="38" spans="2:13" ht="14.25" thickTop="1" x14ac:dyDescent="0.15">
      <c r="C38" s="4"/>
      <c r="D38" s="24"/>
      <c r="E38" s="5"/>
      <c r="F38" s="6"/>
      <c r="G38" s="5"/>
      <c r="H38" s="5"/>
      <c r="J38" s="29" t="str">
        <f>IF(C5=$J$37,VLOOKUP($J$37,C5:G5,2,FALSE))</f>
        <v>大金A</v>
      </c>
      <c r="K38" s="28">
        <v>0</v>
      </c>
      <c r="L38" s="32" t="s">
        <v>56</v>
      </c>
      <c r="M38" s="32" t="s">
        <v>48</v>
      </c>
    </row>
    <row r="39" spans="2:13" x14ac:dyDescent="0.15">
      <c r="C39" s="4"/>
      <c r="D39" s="24" t="s">
        <v>32</v>
      </c>
      <c r="E39" s="9" t="str">
        <f>VLOOKUP(MIN($B$22:$B$37),$B$22:$D$37,3,FALSE)</f>
        <v>海尔E</v>
      </c>
      <c r="F39" s="20">
        <f>VLOOKUP(MIN($B$22:$B$37),$B$22:$G$37,6,FALSE)</f>
        <v>4378594.76</v>
      </c>
      <c r="G39" s="5"/>
      <c r="H39" s="5"/>
      <c r="J39" s="29" t="str">
        <f>IF(C7=$J$37,VLOOKUP($J$37,C7:G7,2,FALSE))</f>
        <v>大金B</v>
      </c>
      <c r="K39" s="28">
        <v>4</v>
      </c>
      <c r="L39" s="32" t="s">
        <v>57</v>
      </c>
      <c r="M39" s="28" t="s">
        <v>59</v>
      </c>
    </row>
    <row r="40" spans="2:13" ht="14.25" thickBot="1" x14ac:dyDescent="0.2">
      <c r="C40" s="4"/>
      <c r="D40" s="26" t="s">
        <v>38</v>
      </c>
      <c r="E40" s="19" t="str">
        <f>VLOOKUP(MAX($B$22:$B$37),B22:D37,3,FALSE)</f>
        <v>夏普B</v>
      </c>
      <c r="F40" s="21">
        <f>VLOOKUP(MAX($B$22:$B$37),$B$22:$G$37,6,FALSE)</f>
        <v>7385601.6000000006</v>
      </c>
      <c r="G40" s="5"/>
      <c r="H40" s="5"/>
      <c r="J40" s="33" t="str">
        <f>IF(C12=$J$37,VLOOKUP($J$37,C12:G12,2,FALSE))</f>
        <v>大金C</v>
      </c>
      <c r="K40" s="28">
        <v>211</v>
      </c>
      <c r="L40" s="32" t="s">
        <v>58</v>
      </c>
      <c r="M40" s="28"/>
    </row>
    <row r="41" spans="2:13" ht="15" thickTop="1" thickBot="1" x14ac:dyDescent="0.2">
      <c r="J41" s="28" t="s">
        <v>43</v>
      </c>
      <c r="K41" s="35">
        <f>(K38*F5+K38*G5/1000*I2*K2*5)+(K39*F7+K39*G7/1000*I2*K2*5)+(K40*F12+K40*G12/1000*I2*K2*5)+M4*5</f>
        <v>4450983.5999999996</v>
      </c>
      <c r="L41" s="28"/>
      <c r="M41" s="28"/>
    </row>
    <row r="42" spans="2:13" ht="14.25" thickTop="1" x14ac:dyDescent="0.15"/>
  </sheetData>
  <mergeCells count="5">
    <mergeCell ref="L37:M37"/>
    <mergeCell ref="L21:M21"/>
    <mergeCell ref="L28:M28"/>
    <mergeCell ref="D19:H20"/>
    <mergeCell ref="J19:M20"/>
  </mergeCells>
  <phoneticPr fontId="4" type="noConversion"/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D24F38E-BCA8-44D6-8584-5936512F658C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G22:G37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cols>
    <col min="1" max="3" width="9.125" customWidth="1"/>
    <col min="4" max="4" width="11.125" bestFit="1" customWidth="1"/>
    <col min="5" max="5" width="13.75" bestFit="1" customWidth="1"/>
    <col min="6" max="6" width="17.375" customWidth="1"/>
    <col min="7" max="7" width="16" bestFit="1" customWidth="1"/>
    <col min="8" max="8" width="9.625" bestFit="1" customWidth="1"/>
    <col min="9" max="9" width="21.625" bestFit="1" customWidth="1"/>
    <col min="11" max="11" width="32.875" bestFit="1" customWidth="1"/>
    <col min="12" max="12" width="18.375" bestFit="1" customWidth="1"/>
    <col min="13" max="13" width="22.875" bestFit="1" customWidth="1"/>
    <col min="14" max="14" width="18.375" bestFit="1" customWidth="1"/>
  </cols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S. Chen</dc:creator>
  <cp:lastModifiedBy>CHEN'S</cp:lastModifiedBy>
  <dcterms:created xsi:type="dcterms:W3CDTF">2014-07-01T01:14:04Z</dcterms:created>
  <dcterms:modified xsi:type="dcterms:W3CDTF">2014-07-26T14:50:06Z</dcterms:modified>
</cp:coreProperties>
</file>